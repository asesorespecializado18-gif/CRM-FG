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8_{B6833FDF-23B9-416E-9662-969A35AE3562}" xr6:coauthVersionLast="47" xr6:coauthVersionMax="47" xr10:uidLastSave="{00000000-0000-0000-0000-000000000000}"/>
  <bookViews>
    <workbookView xWindow="-108" yWindow="-108" windowWidth="23256" windowHeight="12456" xr2:uid="{10C8D15D-9501-4A2C-B797-CE8282983501}"/>
  </bookViews>
  <sheets>
    <sheet name="Resumen" sheetId="1" r:id="rId1"/>
    <sheet name="Casos en curso" sheetId="2" r:id="rId2"/>
    <sheet name="Detalle" sheetId="3" r:id="rId3"/>
    <sheet name="Casos críticos" sheetId="4" r:id="rId4"/>
    <sheet name="Ideas de mejora" sheetId="5" r:id="rId5"/>
    <sheet name="Notas" sheetId="6" r:id="rId6"/>
  </sheets>
  <definedNames>
    <definedName name="FechaCorte">Resumen!$C$4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172B4D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72B4D"/>
      <name val="Calibri"/>
      <family val="2"/>
      <scheme val="minor"/>
    </font>
    <font>
      <b/>
      <sz val="24"/>
      <color rgb="FF007078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12"/>
      <color rgb="FF172B4D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38761D"/>
      <name val="Calibri"/>
      <family val="2"/>
      <scheme val="minor"/>
    </font>
    <font>
      <b/>
      <sz val="10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72B4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AD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vertical="center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6" fillId="6" borderId="1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1" fontId="7" fillId="6" borderId="3" xfId="0" applyNumberFormat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9" fontId="7" fillId="6" borderId="4" xfId="0" applyNumberFormat="1" applyFont="1" applyFill="1" applyBorder="1" applyAlignment="1">
      <alignment horizontal="center"/>
    </xf>
    <xf numFmtId="9" fontId="9" fillId="6" borderId="3" xfId="0" applyNumberFormat="1" applyFont="1" applyFill="1" applyBorder="1" applyAlignment="1">
      <alignment horizontal="center"/>
    </xf>
    <xf numFmtId="1" fontId="9" fillId="6" borderId="3" xfId="0" applyNumberFormat="1" applyFont="1" applyFill="1" applyBorder="1" applyAlignment="1">
      <alignment horizontal="center"/>
    </xf>
    <xf numFmtId="0" fontId="10" fillId="0" borderId="0" xfId="0" applyFont="1"/>
    <xf numFmtId="0" fontId="5" fillId="3" borderId="7" xfId="0" applyFont="1" applyFill="1" applyBorder="1" applyAlignment="1">
      <alignment vertical="center" wrapText="1"/>
    </xf>
    <xf numFmtId="0" fontId="1" fillId="0" borderId="7" xfId="0" applyFont="1" applyBorder="1"/>
    <xf numFmtId="1" fontId="1" fillId="0" borderId="7" xfId="0" applyNumberFormat="1" applyFont="1" applyBorder="1"/>
    <xf numFmtId="9" fontId="1" fillId="0" borderId="7" xfId="0" applyNumberFormat="1" applyFont="1" applyBorder="1"/>
    <xf numFmtId="0" fontId="2" fillId="6" borderId="7" xfId="0" applyFont="1" applyFill="1" applyBorder="1"/>
    <xf numFmtId="1" fontId="2" fillId="6" borderId="7" xfId="0" applyNumberFormat="1" applyFont="1" applyFill="1" applyBorder="1"/>
    <xf numFmtId="0" fontId="1" fillId="6" borderId="7" xfId="0" applyFont="1" applyFill="1" applyBorder="1"/>
    <xf numFmtId="0" fontId="1" fillId="0" borderId="0" xfId="0" applyFont="1" applyAlignment="1">
      <alignment wrapText="1"/>
    </xf>
    <xf numFmtId="0" fontId="1" fillId="6" borderId="0" xfId="0" applyFont="1" applyFill="1" applyAlignment="1">
      <alignment vertical="center" wrapText="1"/>
    </xf>
    <xf numFmtId="49" fontId="1" fillId="0" borderId="7" xfId="0" applyNumberFormat="1" applyFont="1" applyBorder="1" applyAlignment="1">
      <alignment vertical="top" wrapText="1"/>
    </xf>
    <xf numFmtId="164" fontId="1" fillId="0" borderId="7" xfId="0" applyNumberFormat="1" applyFont="1" applyBorder="1" applyAlignment="1">
      <alignment vertical="top" wrapText="1"/>
    </xf>
    <xf numFmtId="0" fontId="11" fillId="5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49" fontId="1" fillId="5" borderId="7" xfId="0" applyNumberFormat="1" applyFont="1" applyFill="1" applyBorder="1" applyAlignment="1">
      <alignment vertical="top" wrapText="1"/>
    </xf>
    <xf numFmtId="164" fontId="1" fillId="5" borderId="7" xfId="0" applyNumberFormat="1" applyFont="1" applyFill="1" applyBorder="1" applyAlignment="1">
      <alignment vertical="top" wrapText="1"/>
    </xf>
    <xf numFmtId="0" fontId="1" fillId="5" borderId="7" xfId="0" applyFont="1" applyFill="1" applyBorder="1" applyAlignment="1">
      <alignment vertical="top" wrapText="1"/>
    </xf>
    <xf numFmtId="0" fontId="8" fillId="0" borderId="0" xfId="0" applyFont="1"/>
    <xf numFmtId="0" fontId="12" fillId="4" borderId="7" xfId="0" applyFont="1" applyFill="1" applyBorder="1" applyAlignment="1">
      <alignment horizontal="center" vertical="top" wrapText="1"/>
    </xf>
    <xf numFmtId="49" fontId="2" fillId="0" borderId="7" xfId="0" applyNumberFormat="1" applyFont="1" applyBorder="1" applyAlignment="1">
      <alignment vertical="top" wrapText="1"/>
    </xf>
    <xf numFmtId="164" fontId="1" fillId="7" borderId="7" xfId="0" applyNumberFormat="1" applyFont="1" applyFill="1" applyBorder="1" applyAlignment="1">
      <alignment vertical="top" wrapText="1"/>
    </xf>
    <xf numFmtId="0" fontId="1" fillId="7" borderId="7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top" wrapText="1"/>
    </xf>
    <xf numFmtId="0" fontId="11" fillId="5" borderId="7" xfId="0" applyFont="1" applyFill="1" applyBorder="1" applyAlignment="1">
      <alignment horizontal="center" vertical="top" wrapText="1"/>
    </xf>
    <xf numFmtId="1" fontId="1" fillId="0" borderId="7" xfId="0" applyNumberFormat="1" applyFont="1" applyBorder="1" applyAlignment="1">
      <alignment horizontal="center" vertical="top" wrapText="1"/>
    </xf>
    <xf numFmtId="0" fontId="6" fillId="0" borderId="0" xfId="0" applyFont="1"/>
    <xf numFmtId="0" fontId="1" fillId="4" borderId="7" xfId="0" applyFont="1" applyFill="1" applyBorder="1" applyAlignment="1">
      <alignment vertical="top" wrapText="1"/>
    </xf>
  </cellXfs>
  <cellStyles count="1">
    <cellStyle name="Normal" xfId="0" builtinId="0"/>
  </cellStyles>
  <dxfs count="29"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FCE4E4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72B4D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Casos por estado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707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Resumen!$B$12:$B$20</c:f>
              <c:strCache>
                <c:ptCount val="9"/>
                <c:pt idx="0">
                  <c:v>En evaluación</c:v>
                </c:pt>
                <c:pt idx="1">
                  <c:v>En reparación</c:v>
                </c:pt>
                <c:pt idx="2">
                  <c:v>Reportado</c:v>
                </c:pt>
                <c:pt idx="3">
                  <c:v>Observado</c:v>
                </c:pt>
                <c:pt idx="4">
                  <c:v>Aprobado</c:v>
                </c:pt>
                <c:pt idx="5">
                  <c:v>Pagado</c:v>
                </c:pt>
                <c:pt idx="6">
                  <c:v>Atendido</c:v>
                </c:pt>
                <c:pt idx="7">
                  <c:v>Rechazado</c:v>
                </c:pt>
                <c:pt idx="8">
                  <c:v>Cerrado sin atención</c:v>
                </c:pt>
              </c:strCache>
            </c:strRef>
          </c:cat>
          <c:val>
            <c:numRef>
              <c:f>Resumen!$C$12:$C$20</c:f>
              <c:numCache>
                <c:formatCode>0</c:formatCode>
                <c:ptCount val="9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5-4015-B75F-55B76E28D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795440"/>
        <c:axId val="323349232"/>
      </c:barChart>
      <c:catAx>
        <c:axId val="4057954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323349232"/>
        <c:crosses val="autoZero"/>
        <c:auto val="1"/>
        <c:lblAlgn val="ctr"/>
        <c:lblOffset val="100"/>
        <c:noMultiLvlLbl val="0"/>
      </c:catAx>
      <c:valAx>
        <c:axId val="323349232"/>
        <c:scaling>
          <c:orientation val="minMax"/>
          <c:max val="8"/>
          <c:min val="0"/>
        </c:scaling>
        <c:delete val="0"/>
        <c:axPos val="t"/>
        <c:majorGridlines/>
        <c:numFmt formatCode="0" sourceLinked="1"/>
        <c:majorTickMark val="out"/>
        <c:minorTickMark val="none"/>
        <c:tickLblPos val="nextTo"/>
        <c:crossAx val="405795440"/>
        <c:crosses val="autoZero"/>
        <c:crossBetween val="between"/>
        <c:majorUnit val="2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Casos por aseguradora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Resumen!$G$11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rgbClr val="172B4D"/>
            </a:solidFill>
          </c:spPr>
          <c:invertIfNegative val="0"/>
          <c:cat>
            <c:strRef>
              <c:f>Resumen!$F$12:$F$16</c:f>
              <c:strCache>
                <c:ptCount val="5"/>
                <c:pt idx="0">
                  <c:v>Qualitas</c:v>
                </c:pt>
                <c:pt idx="1">
                  <c:v>Rímac</c:v>
                </c:pt>
                <c:pt idx="2">
                  <c:v>Pacífico</c:v>
                </c:pt>
                <c:pt idx="3">
                  <c:v>La Positiva</c:v>
                </c:pt>
                <c:pt idx="4">
                  <c:v>Avla</c:v>
                </c:pt>
              </c:strCache>
            </c:strRef>
          </c:cat>
          <c:val>
            <c:numRef>
              <c:f>Resumen!$G$12:$G$16</c:f>
              <c:numCache>
                <c:formatCode>0</c:formatCode>
                <c:ptCount val="5"/>
                <c:pt idx="0">
                  <c:v>9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5-4CA3-BC14-DD6DE2C49BEB}"/>
            </c:ext>
          </c:extLst>
        </c:ser>
        <c:ser>
          <c:idx val="1"/>
          <c:order val="1"/>
          <c:tx>
            <c:strRef>
              <c:f>Resumen!$H$11</c:f>
              <c:strCache>
                <c:ptCount val="1"/>
                <c:pt idx="0">
                  <c:v>Abiertos</c:v>
                </c:pt>
              </c:strCache>
            </c:strRef>
          </c:tx>
          <c:spPr>
            <a:solidFill>
              <a:srgbClr val="007078"/>
            </a:solidFill>
          </c:spPr>
          <c:invertIfNegative val="0"/>
          <c:cat>
            <c:strRef>
              <c:f>Resumen!$F$12:$F$16</c:f>
              <c:strCache>
                <c:ptCount val="5"/>
                <c:pt idx="0">
                  <c:v>Qualitas</c:v>
                </c:pt>
                <c:pt idx="1">
                  <c:v>Rímac</c:v>
                </c:pt>
                <c:pt idx="2">
                  <c:v>Pacífico</c:v>
                </c:pt>
                <c:pt idx="3">
                  <c:v>La Positiva</c:v>
                </c:pt>
                <c:pt idx="4">
                  <c:v>Avla</c:v>
                </c:pt>
              </c:strCache>
            </c:strRef>
          </c:cat>
          <c:val>
            <c:numRef>
              <c:f>Resumen!$H$12:$H$16</c:f>
              <c:numCache>
                <c:formatCode>0</c:formatCode>
                <c:ptCount val="5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95-4CA3-BC14-DD6DE2C49BEB}"/>
            </c:ext>
          </c:extLst>
        </c:ser>
        <c:ser>
          <c:idx val="2"/>
          <c:order val="2"/>
          <c:tx>
            <c:strRef>
              <c:f>Resumen!$I$11</c:f>
              <c:strCache>
                <c:ptCount val="1"/>
                <c:pt idx="0">
                  <c:v>Rechazados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Resumen!$F$12:$F$16</c:f>
              <c:strCache>
                <c:ptCount val="5"/>
                <c:pt idx="0">
                  <c:v>Qualitas</c:v>
                </c:pt>
                <c:pt idx="1">
                  <c:v>Rímac</c:v>
                </c:pt>
                <c:pt idx="2">
                  <c:v>Pacífico</c:v>
                </c:pt>
                <c:pt idx="3">
                  <c:v>La Positiva</c:v>
                </c:pt>
                <c:pt idx="4">
                  <c:v>Avla</c:v>
                </c:pt>
              </c:strCache>
            </c:strRef>
          </c:cat>
          <c:val>
            <c:numRef>
              <c:f>Resumen!$I$12:$I$16</c:f>
              <c:numCache>
                <c:formatCode>0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95-4CA3-BC14-DD6DE2C4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796832"/>
        <c:axId val="323366032"/>
      </c:barChart>
      <c:catAx>
        <c:axId val="405796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3366032"/>
        <c:crosses val="autoZero"/>
        <c:auto val="1"/>
        <c:lblAlgn val="ctr"/>
        <c:lblOffset val="100"/>
        <c:noMultiLvlLbl val="0"/>
      </c:catAx>
      <c:valAx>
        <c:axId val="3233660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405796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0</xdr:rowOff>
    </xdr:from>
    <xdr:to>
      <xdr:col>5</xdr:col>
      <xdr:colOff>1389380</xdr:colOff>
      <xdr:row>51</xdr:row>
      <xdr:rowOff>116840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AF9ED3-4129-7BA5-DCB4-E2E0F0EE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508000</xdr:colOff>
      <xdr:row>35</xdr:row>
      <xdr:rowOff>0</xdr:rowOff>
    </xdr:from>
    <xdr:to>
      <xdr:col>9</xdr:col>
      <xdr:colOff>848360</xdr:colOff>
      <xdr:row>51</xdr:row>
      <xdr:rowOff>116840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F37F4F-6CD7-5FB5-D47E-1A025DAF8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1E2C1-6CF8-4FB9-81A5-624CDA0D8FF5}" name="tblSiniestros" displayName="tblSiniestros" ref="A4:Q5" totalsRowShown="0" headerRowDxfId="28" dataDxfId="10">
  <autoFilter ref="A4:Q5" xr:uid="{7611E2C1-6CF8-4FB9-81A5-624CDA0D8FF5}"/>
  <tableColumns count="17">
    <tableColumn id="1" xr3:uid="{283CD8CE-A6E1-4DA9-99DF-D7DF6F7E5D9A}" name="N°" dataDxfId="27"/>
    <tableColumn id="2" xr3:uid="{2B9A3D72-1B3F-42A0-AF9A-87149D55C327}" name="N° siniestro / reporte" dataDxfId="26"/>
    <tableColumn id="3" xr3:uid="{8F852D8A-CECB-4142-B586-58A11C9820FF}" name="Ramo" dataDxfId="25"/>
    <tableColumn id="4" xr3:uid="{19D5CC4B-818C-4C16-90DA-898747807ACA}" name="Aseguradora" dataDxfId="24"/>
    <tableColumn id="5" xr3:uid="{96D18C9B-DFB1-4F59-8B61-20AA5C0A7FBF}" name="Cliente / asegurado" dataDxfId="23"/>
    <tableColumn id="6" xr3:uid="{E6DFBC9A-22D2-48B1-A8C1-F4844FF71825}" name="Póliza" dataDxfId="22"/>
    <tableColumn id="7" xr3:uid="{1E9D5309-604A-4975-8554-F860B3F273C8}" name="Bien asegurado" dataDxfId="21"/>
    <tableColumn id="8" xr3:uid="{FBFE2267-D3B1-43DA-A46B-76FC55CE000B}" name="Causa" dataDxfId="20"/>
    <tableColumn id="9" xr3:uid="{EB698291-5FDA-4B6F-A7CA-E0F2560B3E68}" name="Fecha ocurrencia" dataDxfId="19"/>
    <tableColumn id="10" xr3:uid="{F47BCB78-CE07-4812-8C0C-864AB3224C2F}" name="Fecha aviso" dataDxfId="18"/>
    <tableColumn id="11" xr3:uid="{2E7A72E1-0ACF-408B-A3F0-213E76AEB46E}" name="Estado" dataDxfId="17"/>
    <tableColumn id="12" xr3:uid="{C31BF2DA-119A-4143-9323-D8DAE5EC8E6F}" name="Último movimiento" dataDxfId="16"/>
    <tableColumn id="13" xr3:uid="{B667FBCF-EE42-4840-9FD5-9259BFB24583}" name="Monto pagado (S/)" dataDxfId="15"/>
    <tableColumn id="14" xr3:uid="{E7247191-970E-4FF6-B790-FC047F18C38B}" name="Situación" dataDxfId="14">
      <calculatedColumnFormula>IF(OR(K5="Pagado",K5="Atendido",K5="Rechazado",K5="Cerrado sin atención"),"Cerrado","Abierto")</calculatedColumnFormula>
    </tableColumn>
    <tableColumn id="15" xr3:uid="{2A1D34A0-3FDE-4A09-92CB-732A70430294}" name="Días desde aviso" dataDxfId="13">
      <calculatedColumnFormula>IF(OR(N5="Cerrado",J5=""),"",FechaCorte-J5)</calculatedColumnFormula>
    </tableColumn>
    <tableColumn id="16" xr3:uid="{447A7099-4BDD-4811-B3BE-4097723DD876}" name="Días sin movimiento" dataDxfId="12">
      <calculatedColumnFormula>IF(N5="Cerrado","",FechaCorte-L5)</calculatedColumnFormula>
    </tableColumn>
    <tableColumn id="17" xr3:uid="{F68ABC9D-C633-4AB9-8346-BE308D5687E7}" name="Observación / próximo paso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B692-FCD5-4734-881D-CECB40B54755}">
  <sheetPr>
    <pageSetUpPr fitToPage="1"/>
  </sheetPr>
  <dimension ref="A1:M34"/>
  <sheetViews>
    <sheetView showGridLines="0" tabSelected="1" workbookViewId="0"/>
  </sheetViews>
  <sheetFormatPr baseColWidth="10" defaultRowHeight="13.8" x14ac:dyDescent="0.3"/>
  <cols>
    <col min="1" max="1" width="2.77734375" style="1" customWidth="1"/>
    <col min="2" max="2" width="22.77734375" style="1" customWidth="1"/>
    <col min="3" max="4" width="11.77734375" style="1" customWidth="1"/>
    <col min="5" max="5" width="3.77734375" style="1" customWidth="1"/>
    <col min="6" max="6" width="30.77734375" style="1" customWidth="1"/>
    <col min="7" max="13" width="12.77734375" style="1" customWidth="1"/>
    <col min="14" max="16384" width="11.5546875" style="1"/>
  </cols>
  <sheetData>
    <row r="1" spans="1:13" ht="23.4" x14ac:dyDescent="0.45">
      <c r="A1" s="4" t="inlineStr">
        <is>
          <t xml:space="preserve">Reporte ejecutivo de siniestros</t>
        </is>
      </c>
    </row>
    <row r="2" spans="1:13" x14ac:dyDescent="0.3">
      <c r="A2" s="5" t="inlineStr">
        <is>
          <t xml:space="preserve">FG Seguros · Gestión de siniestros · Fuente: bitácora de siniestros del CRM FG</t>
        </is>
      </c>
    </row>
    <row r="4" spans="1:13" x14ac:dyDescent="0.3">
      <c r="B4" s="2" t="inlineStr">
        <is>
          <t xml:space="preserve">Fecha de corte:</t>
        </is>
      </c>
      <c r="C4" s="3">
        <v>46317</v>
      </c>
    </row>
    <row r="6" spans="1:13" ht="28.05" customHeight="1" x14ac:dyDescent="0.3">
      <c r="B6" s="14" t="inlineStr">
        <is>
          <t xml:space="preserve">Siniestros gestionados</t>
        </is>
      </c>
      <c r="C6" s="15"/>
      <c r="D6" s="14" t="inlineStr">
        <is>
          <t xml:space="preserve">Casos abiertos</t>
        </is>
      </c>
      <c r="E6" s="15"/>
      <c r="F6" s="14" t="inlineStr">
        <is>
          <t xml:space="preserve">Rechazados</t>
        </is>
      </c>
      <c r="G6" s="15"/>
      <c r="H6" s="14" t="inlineStr">
        <is>
          <t xml:space="preserve">Tasa de rechazo</t>
        </is>
      </c>
      <c r="I6" s="15"/>
      <c r="J6" s="14" t="inlineStr">
        <is>
          <t xml:space="preserve">Abiertos sin movimiento +30 días</t>
        </is>
      </c>
      <c r="K6" s="15"/>
      <c r="L6" s="14" t="inlineStr">
        <is>
          <t xml:space="preserve">Días promedio sin movimiento</t>
        </is>
      </c>
      <c r="M6" s="15"/>
    </row>
    <row r="7" spans="1:13" ht="34.049999999999997" customHeight="1" x14ac:dyDescent="0.6">
      <c r="B7" s="16">
        <f>ROWS(tblSiniestros[Estado])</f>
      </c>
      <c r="C7" s="17"/>
      <c r="D7" s="16">
        <f>COUNTIF(tblSiniestros[Situación],"Abierto")</f>
      </c>
      <c r="E7" s="17"/>
      <c r="F7" s="16">
        <f>COUNTIF(tblSiniestros[Estado],"Rechazado")</f>
      </c>
      <c r="G7" s="17"/>
      <c r="H7" s="21">
        <f>IFERROR(COUNTIF(tblSiniestros[Estado],"Rechazado")/COUNTIF(tblSiniestros[Situación],"Cerrado"),0)</f>
      </c>
      <c r="I7" s="20"/>
      <c r="J7" s="22">
        <f>COUNTIFS(tblSiniestros[Situación],"Abierto",tblSiniestros[Días sin movimiento],"&gt;30")</f>
      </c>
      <c r="K7" s="17"/>
      <c r="L7" s="16">
        <f>IFERROR(AVERAGEIFS(tblSiniestros[Días sin movimiento],tblSiniestros[Situación],"Abierto"),0)</f>
      </c>
      <c r="M7" s="17"/>
    </row>
    <row r="8" spans="1:13" x14ac:dyDescent="0.3">
      <c r="B8" s="18" t="inlineStr">
        <is>
          <t xml:space="preserve">casos en el periodo</t>
        </is>
      </c>
      <c r="C8" s="19"/>
      <c r="D8" s="18" t="inlineStr">
        <is>
          <t xml:space="preserve">aún sin cierre</t>
        </is>
      </c>
      <c r="E8" s="19"/>
      <c r="F8" s="18" t="inlineStr">
        <is>
          <t xml:space="preserve">por la aseguradora</t>
        </is>
      </c>
      <c r="G8" s="19"/>
      <c r="H8" s="18" t="inlineStr">
        <is>
          <t xml:space="preserve">de los casos cerrados</t>
        </is>
      </c>
      <c r="I8" s="19"/>
      <c r="J8" s="18" t="inlineStr">
        <is>
          <t xml:space="preserve">requieren seguimiento</t>
        </is>
      </c>
      <c r="K8" s="19"/>
      <c r="L8" s="18" t="inlineStr">
        <is>
          <t xml:space="preserve">en casos abiertos</t>
        </is>
      </c>
      <c r="M8" s="19"/>
    </row>
    <row r="10" spans="1:13" ht="15.6" x14ac:dyDescent="0.3">
      <c r="B10" s="23" t="inlineStr">
        <is>
          <t xml:space="preserve">Casos por estado</t>
        </is>
      </c>
      <c r="F10" s="23" t="inlineStr">
        <is>
          <t xml:space="preserve">Casos por aseguradora</t>
        </is>
      </c>
    </row>
    <row r="11" spans="1:13" ht="30" customHeight="1" x14ac:dyDescent="0.3">
      <c r="B11" s="24" t="inlineStr">
        <is>
          <t xml:space="preserve">Estado</t>
        </is>
      </c>
      <c r="C11" s="24" t="inlineStr">
        <is>
          <t xml:space="preserve">Casos</t>
        </is>
      </c>
      <c r="D11" s="24" t="inlineStr">
        <is>
          <t xml:space="preserve">% del total</t>
        </is>
      </c>
      <c r="F11" s="24" t="inlineStr">
        <is>
          <t xml:space="preserve">Aseguradora</t>
        </is>
      </c>
      <c r="G11" s="24" t="inlineStr">
        <is>
          <t xml:space="preserve">Casos</t>
        </is>
      </c>
      <c r="H11" s="24" t="inlineStr">
        <is>
          <t xml:space="preserve">Abiertos</t>
        </is>
      </c>
      <c r="I11" s="24" t="inlineStr">
        <is>
          <t xml:space="preserve">Rechazados</t>
        </is>
      </c>
      <c r="J11" s="24" t="inlineStr">
        <is>
          <t xml:space="preserve">Días prom. sin mov. (abiertos)</t>
        </is>
      </c>
    </row>
    <row r="12" spans="1:13" x14ac:dyDescent="0.3">
      <c r="B12" s="25" t="inlineStr">
        <is>
          <t xml:space="preserve">En evaluación</t>
        </is>
      </c>
      <c r="C12" s="26">
        <f>COUNTIF(tblSiniestros[Estado],B12)</f>
      </c>
      <c r="D12" s="27">
        <f>IFERROR(COUNTIF(tblSiniestros[Estado],B12)/ROWS(tblSiniestros[Estado]),0)</f>
      </c>
      <c r="F12" s="25" t="inlineStr">
        <is>
          <t xml:space="preserve">Qualitas</t>
        </is>
      </c>
      <c r="G12" s="26">
        <f>COUNTIF(tblSiniestros[Aseguradora],F12)</f>
      </c>
      <c r="H12" s="26">
        <f>COUNTIFS(tblSiniestros[Aseguradora],F12,tblSiniestros[Situación],"Abierto")</f>
      </c>
      <c r="I12" s="26">
        <f>COUNTIFS(tblSiniestros[Aseguradora],F12,tblSiniestros[Estado],"Rechazado")</f>
      </c>
      <c r="J12" s="26">
        <f>IFERROR(AVERAGEIFS(tblSiniestros[Días sin movimiento],tblSiniestros[Aseguradora],F12,tblSiniestros[Situación],"Abierto"),"-")</f>
      </c>
    </row>
    <row r="13" spans="1:13" x14ac:dyDescent="0.3">
      <c r="B13" s="25" t="inlineStr">
        <is>
          <t xml:space="preserve">En reparación</t>
        </is>
      </c>
      <c r="C13" s="26">
        <f>COUNTIF(tblSiniestros[Estado],B13)</f>
      </c>
      <c r="D13" s="27">
        <f>IFERROR(COUNTIF(tblSiniestros[Estado],B13)/ROWS(tblSiniestros[Estado]),0)</f>
      </c>
      <c r="F13" s="25" t="inlineStr">
        <is>
          <t xml:space="preserve">Rímac</t>
        </is>
      </c>
      <c r="G13" s="26">
        <f>COUNTIF(tblSiniestros[Aseguradora],F13)</f>
      </c>
      <c r="H13" s="26">
        <f>COUNTIFS(tblSiniestros[Aseguradora],F13,tblSiniestros[Situación],"Abierto")</f>
      </c>
      <c r="I13" s="26">
        <f>COUNTIFS(tblSiniestros[Aseguradora],F13,tblSiniestros[Estado],"Rechazado")</f>
      </c>
      <c r="J13" s="26">
        <f>IFERROR(AVERAGEIFS(tblSiniestros[Días sin movimiento],tblSiniestros[Aseguradora],F13,tblSiniestros[Situación],"Abierto"),"-")</f>
      </c>
    </row>
    <row r="14" spans="1:13" x14ac:dyDescent="0.3">
      <c r="B14" s="25" t="inlineStr">
        <is>
          <t xml:space="preserve">Reportado</t>
        </is>
      </c>
      <c r="C14" s="26">
        <f>COUNTIF(tblSiniestros[Estado],B14)</f>
      </c>
      <c r="D14" s="27">
        <f>IFERROR(COUNTIF(tblSiniestros[Estado],B14)/ROWS(tblSiniestros[Estado]),0)</f>
      </c>
      <c r="F14" s="25" t="inlineStr">
        <is>
          <t xml:space="preserve">Pacífico</t>
        </is>
      </c>
      <c r="G14" s="26">
        <f>COUNTIF(tblSiniestros[Aseguradora],F14)</f>
      </c>
      <c r="H14" s="26">
        <f>COUNTIFS(tblSiniestros[Aseguradora],F14,tblSiniestros[Situación],"Abierto")</f>
      </c>
      <c r="I14" s="26">
        <f>COUNTIFS(tblSiniestros[Aseguradora],F14,tblSiniestros[Estado],"Rechazado")</f>
      </c>
      <c r="J14" s="26">
        <f>IFERROR(AVERAGEIFS(tblSiniestros[Días sin movimiento],tblSiniestros[Aseguradora],F14,tblSiniestros[Situación],"Abierto"),"-")</f>
      </c>
    </row>
    <row r="15" spans="1:13" x14ac:dyDescent="0.3">
      <c r="B15" s="25" t="inlineStr">
        <is>
          <t xml:space="preserve">Observado</t>
        </is>
      </c>
      <c r="C15" s="26">
        <f>COUNTIF(tblSiniestros[Estado],B15)</f>
      </c>
      <c r="D15" s="27">
        <f>IFERROR(COUNTIF(tblSiniestros[Estado],B15)/ROWS(tblSiniestros[Estado]),0)</f>
      </c>
      <c r="F15" s="25" t="inlineStr">
        <is>
          <t xml:space="preserve">La Positiva</t>
        </is>
      </c>
      <c r="G15" s="26">
        <f>COUNTIF(tblSiniestros[Aseguradora],F15)</f>
      </c>
      <c r="H15" s="26">
        <f>COUNTIFS(tblSiniestros[Aseguradora],F15,tblSiniestros[Situación],"Abierto")</f>
      </c>
      <c r="I15" s="26">
        <f>COUNTIFS(tblSiniestros[Aseguradora],F15,tblSiniestros[Estado],"Rechazado")</f>
      </c>
      <c r="J15" s="26">
        <f>IFERROR(AVERAGEIFS(tblSiniestros[Días sin movimiento],tblSiniestros[Aseguradora],F15,tblSiniestros[Situación],"Abierto"),"-")</f>
      </c>
    </row>
    <row r="16" spans="1:13" x14ac:dyDescent="0.3">
      <c r="B16" s="25" t="inlineStr">
        <is>
          <t xml:space="preserve">Aprobado</t>
        </is>
      </c>
      <c r="C16" s="26">
        <f>COUNTIF(tblSiniestros[Estado],B16)</f>
      </c>
      <c r="D16" s="27">
        <f>IFERROR(COUNTIF(tblSiniestros[Estado],B16)/ROWS(tblSiniestros[Estado]),0)</f>
      </c>
      <c r="F16" s="25" t="inlineStr">
        <is>
          <t xml:space="preserve">Avla</t>
        </is>
      </c>
      <c r="G16" s="26">
        <f>COUNTIF(tblSiniestros[Aseguradora],F16)</f>
      </c>
      <c r="H16" s="26">
        <f>COUNTIFS(tblSiniestros[Aseguradora],F16,tblSiniestros[Situación],"Abierto")</f>
      </c>
      <c r="I16" s="26">
        <f>COUNTIFS(tblSiniestros[Aseguradora],F16,tblSiniestros[Estado],"Rechazado")</f>
      </c>
      <c r="J16" s="26" t="str">
        <f>IFERROR(AVERAGEIFS(tblSiniestros[Días sin movimiento],tblSiniestros[Aseguradora],F16,tblSiniestros[Situación],"Abierto"),"-")</f>
      </c>
    </row>
    <row r="17" spans="2:13" x14ac:dyDescent="0.3">
      <c r="B17" s="25" t="inlineStr">
        <is>
          <t xml:space="preserve">Pagado</t>
        </is>
      </c>
      <c r="C17" s="26">
        <f>COUNTIF(tblSiniestros[Estado],B17)</f>
      </c>
      <c r="D17" s="27">
        <f>IFERROR(COUNTIF(tblSiniestros[Estado],B17)/ROWS(tblSiniestros[Estado]),0)</f>
      </c>
      <c r="F17" s="28" t="inlineStr">
        <is>
          <t xml:space="preserve">Total</t>
        </is>
      </c>
      <c r="G17" s="29">
        <f>SUM(G12:G16)</f>
      </c>
      <c r="H17" s="29">
        <f>SUM(H12:H16)</f>
      </c>
      <c r="I17" s="29">
        <f>SUM(I12:I16)</f>
      </c>
      <c r="J17" s="29">
        <f>IFERROR(AVERAGEIFS(tblSiniestros[Días sin movimiento],tblSiniestros[Situación],"Abierto"),"-")</f>
      </c>
    </row>
    <row r="18" spans="2:13" x14ac:dyDescent="0.3">
      <c r="B18" s="25" t="inlineStr">
        <is>
          <t xml:space="preserve">Atendido</t>
        </is>
      </c>
      <c r="C18" s="26">
        <f>COUNTIF(tblSiniestros[Estado],B18)</f>
      </c>
      <c r="D18" s="27">
        <f>IFERROR(COUNTIF(tblSiniestros[Estado],B18)/ROWS(tblSiniestros[Estado]),0)</f>
      </c>
    </row>
    <row r="19" spans="2:13" ht="15.6" x14ac:dyDescent="0.3">
      <c r="B19" s="25" t="inlineStr">
        <is>
          <t xml:space="preserve">Rechazado</t>
        </is>
      </c>
      <c r="C19" s="26">
        <f>COUNTIF(tblSiniestros[Estado],B19)</f>
      </c>
      <c r="D19" s="27">
        <f>IFERROR(COUNTIF(tblSiniestros[Estado],B19)/ROWS(tblSiniestros[Estado]),0)</f>
      </c>
      <c r="F19" s="23" t="inlineStr">
        <is>
          <t xml:space="preserve">Casos por ramo</t>
        </is>
      </c>
    </row>
    <row r="20" spans="2:13" x14ac:dyDescent="0.3">
      <c r="B20" s="25" t="inlineStr">
        <is>
          <t xml:space="preserve">Cerrado sin atención</t>
        </is>
      </c>
      <c r="C20" s="26">
        <f>COUNTIF(tblSiniestros[Estado],B20)</f>
      </c>
      <c r="D20" s="27">
        <f>IFERROR(COUNTIF(tblSiniestros[Estado],B20)/ROWS(tblSiniestros[Estado]),0)</f>
      </c>
      <c r="F20" s="24" t="inlineStr">
        <is>
          <t xml:space="preserve">Ramo</t>
        </is>
      </c>
      <c r="G20" s="24" t="inlineStr">
        <is>
          <t xml:space="preserve">Casos</t>
        </is>
      </c>
      <c r="H20" s="24" t="inlineStr">
        <is>
          <t xml:space="preserve">Abiertos</t>
        </is>
      </c>
      <c r="I20" s="24" t="inlineStr">
        <is>
          <t xml:space="preserve">Rechazados</t>
        </is>
      </c>
    </row>
    <row r="21" spans="2:13" x14ac:dyDescent="0.3">
      <c r="B21" s="28" t="inlineStr">
        <is>
          <t xml:space="preserve">Total</t>
        </is>
      </c>
      <c r="C21" s="29">
        <f>SUM(C12:C20)</f>
      </c>
      <c r="D21" s="30"/>
      <c r="F21" s="25" t="inlineStr">
        <is>
          <t xml:space="preserve">Vehicular</t>
        </is>
      </c>
      <c r="G21" s="26">
        <f>COUNTIF(tblSiniestros[Ramo],F21)</f>
      </c>
      <c r="H21" s="26">
        <f>COUNTIFS(tblSiniestros[Ramo],F21,tblSiniestros[Situación],"Abierto")</f>
      </c>
      <c r="I21" s="26">
        <f>COUNTIFS(tblSiniestros[Ramo],F21,tblSiniestros[Estado],"Rechazado")</f>
      </c>
    </row>
    <row r="22" spans="2:13" x14ac:dyDescent="0.3">
      <c r="F22" s="25" t="inlineStr">
        <is>
          <t xml:space="preserve">SCTR Salud</t>
        </is>
      </c>
      <c r="G22" s="26">
        <f>COUNTIF(tblSiniestros[Ramo],F22)</f>
      </c>
      <c r="H22" s="26">
        <f>COUNTIFS(tblSiniestros[Ramo],F22,tblSiniestros[Situación],"Abierto")</f>
      </c>
      <c r="I22" s="26">
        <f>COUNTIFS(tblSiniestros[Ramo],F22,tblSiniestros[Estado],"Rechazado")</f>
      </c>
    </row>
    <row r="23" spans="2:13" x14ac:dyDescent="0.3">
      <c r="F23" s="25" t="inlineStr">
        <is>
          <t xml:space="preserve">Desgravamen</t>
        </is>
      </c>
      <c r="G23" s="26">
        <f>COUNTIF(tblSiniestros[Ramo],F23)</f>
      </c>
      <c r="H23" s="26">
        <f>COUNTIFS(tblSiniestros[Ramo],F23,tblSiniestros[Situación],"Abierto")</f>
      </c>
      <c r="I23" s="26">
        <f>COUNTIFS(tblSiniestros[Ramo],F23,tblSiniestros[Estado],"Rechazado")</f>
      </c>
    </row>
    <row r="24" spans="2:13" x14ac:dyDescent="0.3">
      <c r="F24" s="25" t="inlineStr">
        <is>
          <t xml:space="preserve">Transporte (robo de mercadería)</t>
        </is>
      </c>
      <c r="G24" s="26">
        <f>COUNTIF(tblSiniestros[Ramo],F24)</f>
      </c>
      <c r="H24" s="26">
        <f>COUNTIFS(tblSiniestros[Ramo],F24,tblSiniestros[Situación],"Abierto")</f>
      </c>
      <c r="I24" s="26">
        <f>COUNTIFS(tblSiniestros[Ramo],F24,tblSiniestros[Estado],"Rechazado")</f>
      </c>
    </row>
    <row r="25" spans="2:13" x14ac:dyDescent="0.3">
      <c r="F25" s="25" t="inlineStr">
        <is>
          <t xml:space="preserve">Carta fianza (fiel cumplimiento)</t>
        </is>
      </c>
      <c r="G25" s="26">
        <f>COUNTIF(tblSiniestros[Ramo],F25)</f>
      </c>
      <c r="H25" s="26">
        <f>COUNTIFS(tblSiniestros[Ramo],F25,tblSiniestros[Situación],"Abierto")</f>
      </c>
      <c r="I25" s="26">
        <f>COUNTIFS(tblSiniestros[Ramo],F25,tblSiniestros[Estado],"Rechazado")</f>
      </c>
    </row>
    <row r="26" spans="2:13" x14ac:dyDescent="0.3">
      <c r="F26" s="25" t="inlineStr">
        <is>
          <t xml:space="preserve">Por confirmar</t>
        </is>
      </c>
      <c r="G26" s="26">
        <f>COUNTIF(tblSiniestros[Ramo],F26)</f>
      </c>
      <c r="H26" s="26">
        <f>COUNTIFS(tblSiniestros[Ramo],F26,tblSiniestros[Situación],"Abierto")</f>
      </c>
      <c r="I26" s="26">
        <f>COUNTIFS(tblSiniestros[Ramo],F26,tblSiniestros[Estado],"Rechazado")</f>
      </c>
    </row>
    <row r="27" spans="2:13" x14ac:dyDescent="0.3">
      <c r="F27" s="28" t="inlineStr">
        <is>
          <t xml:space="preserve">Total</t>
        </is>
      </c>
      <c r="G27" s="29">
        <f>SUM(G21:G26)</f>
      </c>
      <c r="H27" s="29">
        <f>SUM(H21:H26)</f>
      </c>
      <c r="I27" s="29">
        <f>SUM(I21:I26)</f>
      </c>
    </row>
    <row r="29" spans="2:13" ht="15.6" x14ac:dyDescent="0.3">
      <c r="B29" s="23" t="inlineStr">
        <is>
          <t xml:space="preserve">Mensajes clave para gerencia</t>
        </is>
      </c>
    </row>
    <row r="30" spans="2:13" ht="28.05" customHeight="1" x14ac:dyDescent="0.3">
      <c r="B30" s="32" t="inlineStr">
        <is>
          <t xml:space="preserve"/>
        </is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2:13" ht="28.05" customHeight="1" x14ac:dyDescent="0.3">
      <c r="B31" s="32" t="inlineStr">
        <is>
          <t xml:space="preserve"/>
        </is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2:13" ht="28.05" customHeight="1" x14ac:dyDescent="0.3">
      <c r="B32" s="32" t="inlineStr">
        <is>
          <t xml:space="preserve"/>
        </is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spans="2:13" ht="28.05" customHeight="1" x14ac:dyDescent="0.3">
      <c r="B33" s="32" t="inlineStr">
        <is>
          <t xml:space="preserve"/>
        </is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2:13" ht="28.05" customHeight="1" x14ac:dyDescent="0.3">
      <c r="B34" s="32" t="inlineStr">
        <is>
          <t xml:space="preserve"/>
        </is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</sheetData>
  <mergeCells count="23">
    <mergeCell ref="B30:M30"/>
    <mergeCell ref="B31:M31"/>
    <mergeCell ref="B32:M32"/>
    <mergeCell ref="B33:M33"/>
    <mergeCell ref="B34:M34"/>
    <mergeCell ref="J6:K6"/>
    <mergeCell ref="J7:K7"/>
    <mergeCell ref="J8:K8"/>
    <mergeCell ref="L6:M6"/>
    <mergeCell ref="L7:M7"/>
    <mergeCell ref="L8:M8"/>
    <mergeCell ref="F6:G6"/>
    <mergeCell ref="F7:G7"/>
    <mergeCell ref="F8:G8"/>
    <mergeCell ref="H6:I6"/>
    <mergeCell ref="H7:I7"/>
    <mergeCell ref="H8:I8"/>
    <mergeCell ref="B6:C6"/>
    <mergeCell ref="B7:C7"/>
    <mergeCell ref="B8:C8"/>
    <mergeCell ref="D6:E6"/>
    <mergeCell ref="D7:E7"/>
    <mergeCell ref="D8:E8"/>
  </mergeCells>
  <pageMargins left="0.7" right="0.7" top="0.75" bottom="0.75" header="0.3" footer="0.3"/>
  <pageSetup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2F1C-1D99-4FED-A132-14CEF90B8A72}">
  <sheetPr>
    <tabColor rgb="FF007078"/>
    <pageSetUpPr fitToPage="1"/>
  </sheetPr>
  <dimension ref="A1:M21"/>
  <sheetViews>
    <sheetView showGridLines="0" workbookViewId="0">
      <pane ySplit="5" topLeftCell="A6" activePane="bottomLeft" state="frozenSplit"/>
      <selection pane="bottomLeft"/>
    </sheetView>
  </sheetViews>
  <sheetFormatPr baseColWidth="10" defaultRowHeight="13.8" x14ac:dyDescent="0.3"/>
  <cols>
    <col min="1" max="1" width="9.77734375" style="1" customWidth="1"/>
    <col min="2" max="2" width="16.77734375" style="1" customWidth="1"/>
    <col min="3" max="3" width="30.77734375" style="1" customWidth="1"/>
    <col min="4" max="4" width="12.77734375" style="1" customWidth="1"/>
    <col min="5" max="5" width="14.77734375" style="1" customWidth="1"/>
    <col min="6" max="6" width="20.77734375" style="1" customWidth="1"/>
    <col min="7" max="7" width="11.77734375" style="1" customWidth="1"/>
    <col min="8" max="8" width="15.77734375" style="1" customWidth="1"/>
    <col min="9" max="9" width="10.77734375" style="1" customWidth="1"/>
    <col min="10" max="10" width="48.77734375" style="1" customWidth="1"/>
    <col min="11" max="11" width="16.77734375" style="1" customWidth="1"/>
    <col min="12" max="12" width="12.77734375" style="1" customWidth="1"/>
    <col min="13" max="13" width="36.77734375" style="1" customWidth="1"/>
    <col min="14" max="16384" width="11.5546875" style="1"/>
  </cols>
  <sheetData>
    <row r="1" spans="1:13" ht="23.4" x14ac:dyDescent="0.45">
      <c r="A1" s="4" t="inlineStr">
        <is>
          <t xml:space="preserve">Casos en curso: plan de seguimiento</t>
        </is>
      </c>
    </row>
    <row r="2" spans="1:13" x14ac:dyDescent="0.3">
      <c r="A2" s="5" t="inlineStr">
        <is>
          <t xml:space="preserve">Para la asesora de cuentas. Corte 22/10/2026. Llenar las columnas amarillas en cada gestión.</t>
        </is>
      </c>
    </row>
    <row r="3" spans="1:13" x14ac:dyDescent="0.3">
      <c r="A3" s="43" t="inlineStr">
        <is>
          <t xml:space="preserve">Semáforo: ROJO = rechazado o más de 30 días sin movimiento · ÁMBAR = de 8 a 30 días · VERDE = hasta 7 días</t>
        </is>
      </c>
    </row>
    <row r="4" spans="1:13" x14ac:dyDescent="0.3">
      <c r="A4" s="51" t="inlineStr">
        <is>
          <t xml:space="preserve">Los 4 primeros son los casos más recientes y requieren atención esta semana.</t>
        </is>
      </c>
    </row>
    <row r="5" spans="1:13" ht="30" customHeight="1" x14ac:dyDescent="0.3">
      <c r="A5" s="24" t="inlineStr">
        <is>
          <t xml:space="preserve">Semáforo</t>
        </is>
      </c>
      <c r="B5" s="24" t="inlineStr">
        <is>
          <t xml:space="preserve">N° siniestro</t>
        </is>
      </c>
      <c r="C5" s="24" t="inlineStr">
        <is>
          <t xml:space="preserve">Cliente / asegurado</t>
        </is>
      </c>
      <c r="D5" s="24" t="inlineStr">
        <is>
          <t xml:space="preserve">Aseguradora</t>
        </is>
      </c>
      <c r="E5" s="24" t="inlineStr">
        <is>
          <t xml:space="preserve">Póliza</t>
        </is>
      </c>
      <c r="F5" s="24" t="inlineStr">
        <is>
          <t xml:space="preserve">Bien asegurado</t>
        </is>
      </c>
      <c r="G5" s="24" t="inlineStr">
        <is>
          <t xml:space="preserve">Ocurrencia</t>
        </is>
      </c>
      <c r="H5" s="24" t="inlineStr">
        <is>
          <t xml:space="preserve">Estado actual</t>
        </is>
      </c>
      <c r="I5" s="24" t="inlineStr">
        <is>
          <t xml:space="preserve">Días sin movimiento</t>
        </is>
      </c>
      <c r="J5" s="24" t="inlineStr">
        <is>
          <t xml:space="preserve">Próximo paso</t>
        </is>
      </c>
      <c r="K5" s="24" t="inlineStr">
        <is>
          <t xml:space="preserve">Responsable</t>
        </is>
      </c>
      <c r="L5" s="24" t="inlineStr">
        <is>
          <t xml:space="preserve">Fecha compromiso</t>
        </is>
      </c>
      <c r="M5" s="24" t="inlineStr">
        <is>
          <t xml:space="preserve">Comentario de la gestión</t>
        </is>
      </c>
    </row>
  </sheetData>
  <conditionalFormatting sqref="I6:I6">
    <cfRule type="cellIs" dxfId="0" priority="1" stopIfTrue="1" operator="greaterThan">
      <formula>30</formula>
    </cfRule>
  </conditionalFormatting>
  <dataValidations count="1">
    <dataValidation type="date" operator="greaterThan" allowBlank="1" showInputMessage="1" showErrorMessage="1" sqref="L6:L6" xr:uid="{588DA344-C1BD-4D29-8C68-3287F2D504CC}">
      <formula1>46023</formula1>
    </dataValidation>
  </dataValidations>
  <pageMargins left="0.7" right="0.7" top="0.75" bottom="0.75" header="0.3" footer="0.3"/>
  <pageSetup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FBAD-2F27-4B9C-ABE2-A1DEA2A67A5F}">
  <dimension ref="A1:Q5"/>
  <sheetViews>
    <sheetView workbookViewId="0">
      <pane xSplit="2" ySplit="4" topLeftCell="C5" activePane="bottomRight" state="frozenSplit"/>
      <selection pane="bottomLeft" activeCell="A5" sqref="A5"/>
      <selection pane="topRight" activeCell="C1" sqref="C1"/>
      <selection pane="bottomRight"/>
    </sheetView>
  </sheetViews>
  <sheetFormatPr baseColWidth="10" defaultRowHeight="13.8" x14ac:dyDescent="0.3"/>
  <cols>
    <col min="1" max="1" width="4.77734375" style="1" customWidth="1"/>
    <col min="2" max="2" width="18.77734375" style="1" customWidth="1"/>
    <col min="3" max="3" width="16.77734375" style="1" customWidth="1"/>
    <col min="4" max="4" width="12.77734375" style="1" customWidth="1"/>
    <col min="5" max="5" width="34.77734375" style="1" customWidth="1"/>
    <col min="6" max="6" width="14.77734375" style="1" customWidth="1"/>
    <col min="7" max="7" width="22.77734375" style="1" customWidth="1"/>
    <col min="8" max="8" width="20.77734375" style="1" customWidth="1"/>
    <col min="9" max="10" width="11.77734375" style="1" customWidth="1"/>
    <col min="11" max="11" width="15.77734375" style="1" customWidth="1"/>
    <col min="12" max="13" width="12.77734375" style="1" customWidth="1"/>
    <col min="14" max="14" width="10.77734375" style="1" customWidth="1"/>
    <col min="15" max="15" width="9.77734375" style="1" customWidth="1"/>
    <col min="16" max="16" width="10.77734375" style="1" customWidth="1"/>
    <col min="17" max="17" width="60.77734375" style="1" customWidth="1"/>
    <col min="18" max="16384" width="11.5546875" style="1"/>
  </cols>
  <sheetData>
    <row r="1" spans="1:17" ht="23.4" x14ac:dyDescent="0.45">
      <c r="A1" s="4" t="inlineStr">
        <is>
          <t xml:space="preserve">Detalle de siniestros</t>
        </is>
      </c>
    </row>
    <row r="2" spans="1:17" x14ac:dyDescent="0.3">
      <c r="A2" s="5" t="inlineStr">
        <is>
          <t xml:space="preserve">Un caso por fila. Estado según el último correo de gestión. Fecha de corte en Resumen!C4.</t>
        </is>
      </c>
    </row>
    <row r="4" spans="1:17" ht="30" customHeight="1" x14ac:dyDescent="0.3">
      <c r="A4" s="6" t="inlineStr">
        <is>
          <t xml:space="preserve">N°</t>
        </is>
      </c>
      <c r="B4" s="6" t="inlineStr">
        <is>
          <t xml:space="preserve">N° siniestro / reporte</t>
        </is>
      </c>
      <c r="C4" s="6" t="inlineStr">
        <is>
          <t xml:space="preserve">Ramo</t>
        </is>
      </c>
      <c r="D4" s="6" t="inlineStr">
        <is>
          <t xml:space="preserve">Aseguradora</t>
        </is>
      </c>
      <c r="E4" s="6" t="inlineStr">
        <is>
          <t xml:space="preserve">Cliente / asegurado</t>
        </is>
      </c>
      <c r="F4" s="6" t="inlineStr">
        <is>
          <t xml:space="preserve">Póliza</t>
        </is>
      </c>
      <c r="G4" s="6" t="inlineStr">
        <is>
          <t xml:space="preserve">Bien asegurado</t>
        </is>
      </c>
      <c r="H4" s="6" t="inlineStr">
        <is>
          <t xml:space="preserve">Causa</t>
        </is>
      </c>
      <c r="I4" s="6" t="inlineStr">
        <is>
          <t xml:space="preserve">Fecha ocurrencia</t>
        </is>
      </c>
      <c r="J4" s="6" t="inlineStr">
        <is>
          <t xml:space="preserve">Fecha aviso</t>
        </is>
      </c>
      <c r="K4" s="6" t="inlineStr">
        <is>
          <t xml:space="preserve">Estado</t>
        </is>
      </c>
      <c r="L4" s="6" t="inlineStr">
        <is>
          <t xml:space="preserve">Último movimiento</t>
        </is>
      </c>
      <c r="M4" s="6" t="inlineStr">
        <is>
          <t xml:space="preserve">Monto pagado (S/)</t>
        </is>
      </c>
      <c r="N4" s="6" t="inlineStr">
        <is>
          <t xml:space="preserve">Situación</t>
        </is>
      </c>
      <c r="O4" s="6" t="inlineStr">
        <is>
          <t xml:space="preserve">Días desde aviso</t>
        </is>
      </c>
      <c r="P4" s="6" t="inlineStr">
        <is>
          <t xml:space="preserve">Días sin movimiento</t>
        </is>
      </c>
      <c r="Q4" s="6" t="inlineStr">
        <is>
          <t xml:space="preserve">Observación / próximo paso</t>
        </is>
      </c>
    </row>
    <row r="5" spans="1:17" x14ac:dyDescent="0.3">
      <c r="A5" s="7"/>
      <c r="B5" s="8"/>
      <c r="C5" s="8"/>
      <c r="D5" s="8"/>
      <c r="E5" s="9"/>
      <c r="F5" s="8"/>
      <c r="G5" s="8"/>
      <c r="H5" s="8"/>
      <c r="I5" s="10"/>
      <c r="J5" s="10"/>
      <c r="K5" s="7"/>
      <c r="L5" s="10"/>
      <c r="M5" s="11"/>
      <c r="N5" s="7"/>
      <c r="O5" s="12"/>
      <c r="P5" s="12"/>
      <c r="Q5" s="13"/>
    </row>
  </sheetData>
  <conditionalFormatting sqref="K5:K5">
    <cfRule type="cellIs" dxfId="9" priority="1" stopIfTrue="1" operator="equal">
      <formula>"Observado"</formula>
    </cfRule>
    <cfRule type="cellIs" dxfId="8" priority="2" stopIfTrue="1" operator="equal">
      <formula>"En reparación"</formula>
    </cfRule>
    <cfRule type="cellIs" dxfId="7" priority="3" stopIfTrue="1" operator="equal">
      <formula>"Rechazado"</formula>
    </cfRule>
    <cfRule type="cellIs" dxfId="6" priority="4" stopIfTrue="1" operator="equal">
      <formula>"Pagado"</formula>
    </cfRule>
    <cfRule type="cellIs" dxfId="5" priority="5" stopIfTrue="1" operator="equal">
      <formula>"En evaluación"</formula>
    </cfRule>
    <cfRule type="cellIs" dxfId="4" priority="6" stopIfTrue="1" operator="equal">
      <formula>"Aprobado"</formula>
    </cfRule>
    <cfRule type="cellIs" dxfId="3" priority="7" stopIfTrue="1" operator="equal">
      <formula>"Atendido"</formula>
    </cfRule>
    <cfRule type="cellIs" dxfId="2" priority="8" stopIfTrue="1" operator="equal">
      <formula>"Reportado"</formula>
    </cfRule>
  </conditionalFormatting>
  <conditionalFormatting sqref="P5:P5">
    <cfRule type="cellIs" dxfId="1" priority="9" stopIfTrue="1" operator="greaterThan">
      <formula>30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EA95-1367-4860-B076-BA77F787F4B0}">
  <dimension ref="A1:H24"/>
  <sheetViews>
    <sheetView showGridLines="0" workbookViewId="0"/>
  </sheetViews>
  <sheetFormatPr baseColWidth="10" defaultRowHeight="13.8" x14ac:dyDescent="0.3"/>
  <cols>
    <col min="1" max="1" width="18.77734375" style="1" customWidth="1"/>
    <col min="2" max="2" width="12.77734375" style="1" customWidth="1"/>
    <col min="3" max="3" width="34.77734375" style="1" customWidth="1"/>
    <col min="4" max="4" width="16.77734375" style="1" customWidth="1"/>
    <col min="5" max="5" width="40.77734375" style="1" customWidth="1"/>
    <col min="6" max="6" width="12.77734375" style="1" customWidth="1"/>
    <col min="7" max="7" width="11.77734375" style="1" customWidth="1"/>
    <col min="8" max="8" width="60.77734375" style="1" customWidth="1"/>
    <col min="9" max="16384" width="11.5546875" style="1"/>
  </cols>
  <sheetData>
    <row r="1" spans="1:8" ht="23.4" x14ac:dyDescent="0.45">
      <c r="A1" s="4" t="inlineStr">
        <is>
          <t xml:space="preserve">Casos críticos</t>
        </is>
      </c>
    </row>
    <row r="2" spans="1:8" x14ac:dyDescent="0.3">
      <c r="A2" s="5" t="inlineStr">
        <is>
          <t xml:space="preserve">Abiertos con más de 30 días sin movimiento y rechazos del periodo (corte 22/10/2026)</t>
        </is>
      </c>
    </row>
    <row r="4" spans="1:8" ht="15.6" x14ac:dyDescent="0.3">
      <c r="A4" s="23" t="inlineStr">
        <is>
          <t xml:space="preserve">A. Casos abiertos sin movimiento por más de 30 días</t>
        </is>
      </c>
    </row>
    <row r="5" spans="1:8" ht="41.4" x14ac:dyDescent="0.3">
      <c r="A5" s="24" t="inlineStr">
        <is>
          <t xml:space="preserve">N° siniestro</t>
        </is>
      </c>
      <c r="B5" s="24" t="inlineStr">
        <is>
          <t xml:space="preserve">Aseguradora</t>
        </is>
      </c>
      <c r="C5" s="24" t="inlineStr">
        <is>
          <t xml:space="preserve">Cliente / asegurado</t>
        </is>
      </c>
      <c r="D5" s="24" t="inlineStr">
        <is>
          <t xml:space="preserve">Ramo</t>
        </is>
      </c>
      <c r="E5" s="24" t="inlineStr">
        <is>
          <t xml:space="preserve">Estado</t>
        </is>
      </c>
      <c r="F5" s="24" t="inlineStr">
        <is>
          <t xml:space="preserve">Último movimiento</t>
        </is>
      </c>
      <c r="G5" s="24" t="inlineStr">
        <is>
          <t xml:space="preserve">Días sin movimiento</t>
        </is>
      </c>
      <c r="H5" s="24" t="inlineStr">
        <is>
          <t xml:space="preserve">Acción recomendada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4B1C-580A-46A0-9B09-C29DB3A1BCDE}">
  <dimension ref="A1:G15"/>
  <sheetViews>
    <sheetView showGridLines="0" workbookViewId="0"/>
  </sheetViews>
  <sheetFormatPr baseColWidth="10" defaultRowHeight="13.8" x14ac:dyDescent="0.3"/>
  <cols>
    <col min="1" max="1" width="4.77734375" style="1" customWidth="1"/>
    <col min="2" max="2" width="46.77734375" style="1" customWidth="1"/>
    <col min="3" max="3" width="52.77734375" style="1" customWidth="1"/>
    <col min="4" max="4" width="22.77734375" style="1" customWidth="1"/>
    <col min="5" max="5" width="10.77734375" style="1" customWidth="1"/>
    <col min="6" max="6" width="14.77734375" style="1" customWidth="1"/>
    <col min="7" max="7" width="36.77734375" style="1" customWidth="1"/>
    <col min="8" max="16384" width="11.5546875" style="1"/>
  </cols>
  <sheetData>
    <row r="1" spans="1:7" ht="23.4" x14ac:dyDescent="0.45">
      <c r="A1" s="4" t="inlineStr">
        <is>
          <t xml:space="preserve">Ideas de mejora</t>
        </is>
      </c>
    </row>
    <row r="2" spans="1:7" x14ac:dyDescent="0.3">
      <c r="A2" s="5" t="inlineStr">
        <is>
          <t xml:space="preserve">Cada idea parte de un caso real del periodo. La prioridad combina impacto en el cliente y facilidad de implementación.</t>
        </is>
      </c>
    </row>
    <row r="4" spans="1:7" ht="41.4" x14ac:dyDescent="0.3">
      <c r="A4" s="24" t="inlineStr">
        <is>
          <t xml:space="preserve">#</t>
        </is>
      </c>
      <c r="B4" s="24" t="inlineStr">
        <is>
          <t xml:space="preserve">Idea de mejora</t>
        </is>
      </c>
      <c r="C4" s="24" t="inlineStr">
        <is>
          <t xml:space="preserve">Problema que resuelve (evidencia)</t>
        </is>
      </c>
      <c r="D4" s="24" t="inlineStr">
        <is>
          <t xml:space="preserve">Responsable sugerido</t>
        </is>
      </c>
      <c r="E4" s="24" t="inlineStr">
        <is>
          <t xml:space="preserve">Prioridad</t>
        </is>
      </c>
      <c r="F4" s="24" t="inlineStr">
        <is>
          <t xml:space="preserve">Plazo</t>
        </is>
      </c>
      <c r="G4" s="24" t="inlineStr">
        <is>
          <t xml:space="preserve">Indicador para medirla</t>
        </is>
      </c>
    </row>
    <row r="5" spans="1:7" ht="27.6" x14ac:dyDescent="0.3">
      <c r="A5" s="36">
        <v>1</v>
      </c>
      <c r="B5" s="36" t="inlineStr">
        <is>
          <t xml:space="preserve">Bitácora única de siniestros (este Excel o el CRM), con estado, fecha de cierre y montos</t>
        </is>
      </c>
      <c r="C5" s="36" t="inlineStr">
        <is>
          <t xml:space="preserve">Hoy el estado de cada caso se reconstruye buscando correos; no hay una sola fuente.</t>
        </is>
      </c>
      <c r="D5" s="36" t="inlineStr">
        <is>
          <t xml:space="preserve">Ejecutivo de siniestros</t>
        </is>
      </c>
      <c r="E5" s="35" t="inlineStr">
        <is>
          <t xml:space="preserve">Alta</t>
        </is>
      </c>
      <c r="F5" s="36" t="inlineStr">
        <is>
          <t xml:space="preserve">Inmediato</t>
        </is>
      </c>
      <c r="G5" s="36" t="inlineStr">
        <is>
          <t xml:space="preserve">100% de los casos con estado y fecha de cierre</t>
        </is>
      </c>
    </row>
    <row r="6" spans="1:7" ht="27.6" x14ac:dyDescent="0.3">
      <c r="A6" s="36">
        <v>2</v>
      </c>
      <c r="B6" s="36" t="inlineStr">
        <is>
          <t xml:space="preserve">Semáforo de seguimiento: escalar a la aseguradora a los 15 días sin movimiento y a la gerencia a los 30</t>
        </is>
      </c>
      <c r="C6" s="36" t="inlineStr">
        <is>
          <t xml:space="preserve">Hay casos con meses sin noticias de la aseguradora.</t>
        </is>
      </c>
      <c r="D6" s="36" t="inlineStr">
        <is>
          <t xml:space="preserve">Ejecutivo de siniestros</t>
        </is>
      </c>
      <c r="E6" s="35" t="inlineStr">
        <is>
          <t xml:space="preserve">Alta</t>
        </is>
      </c>
      <c r="F6" s="36" t="inlineStr">
        <is>
          <t xml:space="preserve">1 mes</t>
        </is>
      </c>
      <c r="G6" s="36" t="inlineStr">
        <is>
          <t xml:space="preserve">Casos abiertos con más de 30 días sin movimiento = 0</t>
        </is>
      </c>
    </row>
    <row r="7" spans="1:7" ht="41.4" x14ac:dyDescent="0.3">
      <c r="A7" s="36">
        <v>3</v>
      </c>
      <c r="B7" s="36" t="inlineStr">
        <is>
          <t xml:space="preserve">Protocolo de choque para el cliente por WhatsApp: denuncia, dosaje, no pactar con el tercero, aviso en 24 h</t>
        </is>
      </c>
      <c r="C7" s="36" t="inlineStr">
        <is>
          <t xml:space="preserve">Hay rechazos por no hacer a tiempo la denuncia policial y el dosaje etílico.</t>
        </is>
      </c>
      <c r="D7" s="36" t="inlineStr">
        <is>
          <t xml:space="preserve">Comercial y atención al cliente</t>
        </is>
      </c>
      <c r="E7" s="35" t="inlineStr">
        <is>
          <t xml:space="preserve">Alta</t>
        </is>
      </c>
      <c r="F7" s="36" t="inlineStr">
        <is>
          <t xml:space="preserve">1 mes</t>
        </is>
      </c>
      <c r="G7" s="36" t="inlineStr">
        <is>
          <t xml:space="preserve">Rechazos por documentación = 0</t>
        </is>
      </c>
    </row>
    <row r="8" spans="1:7" ht="27.6" x14ac:dyDescent="0.3">
      <c r="A8" s="36">
        <v>4</v>
      </c>
      <c r="B8" s="36" t="inlineStr">
        <is>
          <t xml:space="preserve">Control de requisitos al emitir: inspección vehicular, DPS y continuidad en la trama de desgravamen</t>
        </is>
      </c>
      <c r="C8" s="36" t="inlineStr">
        <is>
          <t xml:space="preserve">Hay rechazos por falta de inspección vehicular al emitir.</t>
        </is>
      </c>
      <c r="D8" s="36" t="inlineStr">
        <is>
          <t xml:space="preserve">Área de emisión</t>
        </is>
      </c>
      <c r="E8" s="35" t="inlineStr">
        <is>
          <t xml:space="preserve">Alta</t>
        </is>
      </c>
      <c r="F8" s="36" t="inlineStr">
        <is>
          <t xml:space="preserve">Inmediato</t>
        </is>
      </c>
      <c r="G8" s="36" t="inlineStr">
        <is>
          <t xml:space="preserve">Pólizas emitidas con requisitos completos</t>
        </is>
      </c>
    </row>
    <row r="9" spans="1:7" ht="27.6" x14ac:dyDescent="0.3">
      <c r="A9" s="36">
        <v>5</v>
      </c>
      <c r="B9" s="36" t="inlineStr">
        <is>
          <t xml:space="preserve">Revisión técnica antes de presentar un caso de SCTR (relación entre el diagnóstico y el accidente)</t>
        </is>
      </c>
      <c r="C9" s="36" t="inlineStr">
        <is>
          <t xml:space="preserve">Hay rechazos de SCTR porque el diagnóstico no se relaciona con el trabajo.</t>
        </is>
      </c>
      <c r="D9" s="36" t="inlineStr">
        <is>
          <t xml:space="preserve">Seguros laborales</t>
        </is>
      </c>
      <c r="E9" s="37" t="inlineStr">
        <is>
          <t xml:space="preserve">Media</t>
        </is>
      </c>
      <c r="F9" s="36" t="inlineStr">
        <is>
          <t xml:space="preserve">2 meses</t>
        </is>
      </c>
      <c r="G9" s="36" t="inlineStr">
        <is>
          <t xml:space="preserve">Rechazos en SCTR</t>
        </is>
      </c>
    </row>
    <row r="10" spans="1:7" ht="27.6" x14ac:dyDescent="0.3">
      <c r="A10" s="36">
        <v>6</v>
      </c>
      <c r="B10" s="36" t="inlineStr">
        <is>
          <t xml:space="preserve">Reunión mensual con cada aseguradora para revisar casos con más de 30 días y comparar tiempos de atención</t>
        </is>
      </c>
      <c r="C10" s="36" t="inlineStr">
        <is>
          <t xml:space="preserve">Algunas aseguradoras tienen demoras largas para aprobar y reparar.</t>
        </is>
      </c>
      <c r="D10" s="36" t="inlineStr">
        <is>
          <t xml:space="preserve">Jefatura comercial</t>
        </is>
      </c>
      <c r="E10" s="37" t="inlineStr">
        <is>
          <t xml:space="preserve">Media</t>
        </is>
      </c>
      <c r="F10" s="36" t="inlineStr">
        <is>
          <t xml:space="preserve">Mensual</t>
        </is>
      </c>
      <c r="G10" s="36" t="inlineStr">
        <is>
          <t xml:space="preserve">Días promedio desde el aviso hasta el pago, por aseguradora</t>
        </is>
      </c>
    </row>
    <row r="11" spans="1:7" ht="27.6" x14ac:dyDescent="0.3">
      <c r="A11" s="36">
        <v>7</v>
      </c>
      <c r="B11" s="36" t="inlineStr">
        <is>
          <t xml:space="preserve">Avisos automáticos al cliente en cada cambio de estado (EDUBOT por WhatsApp)</t>
        </is>
      </c>
      <c r="C11" s="36" t="inlineStr">
        <is>
          <t xml:space="preserve">Los clientes llaman para preguntar cómo va su caso.</t>
        </is>
      </c>
      <c r="D11" s="36" t="inlineStr">
        <is>
          <t xml:space="preserve">Marketing y CRM</t>
        </is>
      </c>
      <c r="E11" s="37" t="inlineStr">
        <is>
          <t xml:space="preserve">Media</t>
        </is>
      </c>
      <c r="F11" s="36" t="inlineStr">
        <is>
          <t xml:space="preserve">2 meses</t>
        </is>
      </c>
      <c r="G11" s="36" t="inlineStr">
        <is>
          <t xml:space="preserve">Consultas de seguimiento por cliente</t>
        </is>
      </c>
    </row>
    <row r="12" spans="1:7" ht="27.6" x14ac:dyDescent="0.3">
      <c r="A12" s="36">
        <v>8</v>
      </c>
      <c r="B12" s="36" t="inlineStr">
        <is>
          <t xml:space="preserve">Registrar el monto reclamado y el pagado de cada caso</t>
        </is>
      </c>
      <c r="C12" s="36" t="inlineStr">
        <is>
          <t xml:space="preserve">Pocos casos tienen monto registrado; no se puede medir la siniestralidad.</t>
        </is>
      </c>
      <c r="D12" s="36" t="inlineStr">
        <is>
          <t xml:space="preserve">Ejecutivo de siniestros</t>
        </is>
      </c>
      <c r="E12" s="37" t="inlineStr">
        <is>
          <t xml:space="preserve">Media</t>
        </is>
      </c>
      <c r="F12" s="36" t="inlineStr">
        <is>
          <t xml:space="preserve">1 mes</t>
        </is>
      </c>
      <c r="G12" s="36" t="inlineStr">
        <is>
          <t xml:space="preserve">Siniestralidad por póliza en cada renovación</t>
        </is>
      </c>
    </row>
    <row r="13" spans="1:7" ht="27.6" x14ac:dyDescent="0.3">
      <c r="A13" s="36">
        <v>9</v>
      </c>
      <c r="B13" s="36" t="inlineStr">
        <is>
          <t xml:space="preserve">Revisar en la renovación a los clientes con más de un siniestro: deducible, prevención y tasa</t>
        </is>
      </c>
      <c r="C13" s="36" t="inlineStr">
        <is>
          <t xml:space="preserve">Hay clientes con más de un siniestro en pocas semanas.</t>
        </is>
      </c>
      <c r="D13" s="36" t="inlineStr">
        <is>
          <t xml:space="preserve">Comercial</t>
        </is>
      </c>
      <c r="E13" s="52" t="inlineStr">
        <is>
          <t xml:space="preserve">Baja</t>
        </is>
      </c>
      <c r="F13" s="36" t="inlineStr">
        <is>
          <t xml:space="preserve">En cada renovación</t>
        </is>
      </c>
      <c r="G13" s="36" t="inlineStr">
        <is>
          <t xml:space="preserve">Frecuencia de siniestros por cliente</t>
        </is>
      </c>
    </row>
    <row r="14" spans="1:7" ht="27.6" x14ac:dyDescent="0.3">
      <c r="A14" s="36">
        <v>10</v>
      </c>
      <c r="B14" s="36" t="inlineStr">
        <is>
          <t xml:space="preserve">Seguimiento de recupero en cartas fianza (contragarantías del cliente)</t>
        </is>
      </c>
      <c r="C14" s="36" t="inlineStr">
        <is>
          <t xml:space="preserve">En cartas fianza la aseguradora exige devolver lo pagado al tomador.</t>
        </is>
      </c>
      <c r="D14" s="36" t="inlineStr">
        <is>
          <t xml:space="preserve">Jefatura comercial</t>
        </is>
      </c>
      <c r="E14" s="37" t="inlineStr">
        <is>
          <t xml:space="preserve">Media</t>
        </is>
      </c>
      <c r="F14" s="36" t="inlineStr">
        <is>
          <t xml:space="preserve">Inmediato</t>
        </is>
      </c>
      <c r="G14" s="36" t="inlineStr">
        <is>
          <t xml:space="preserve">Recuperos pendientes</t>
        </is>
      </c>
    </row>
    <row r="15" spans="1:7" x14ac:dyDescent="0.3">
      <c r="A15" s="13"/>
      <c r="B15" s="13"/>
      <c r="C15" s="13"/>
      <c r="D15" s="13"/>
      <c r="E15" s="13"/>
      <c r="F15" s="13"/>
      <c r="G1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832D-D243-4C6A-8196-95D0C397CC9E}">
  <dimension ref="A1:J9"/>
  <sheetViews>
    <sheetView showGridLines="0" workbookViewId="0"/>
  </sheetViews>
  <sheetFormatPr baseColWidth="10" defaultRowHeight="13.8" x14ac:dyDescent="0.3"/>
  <cols>
    <col min="1" max="1" width="12.77734375" style="1" customWidth="1"/>
    <col min="2" max="16384" width="11.5546875" style="1"/>
  </cols>
  <sheetData>
    <row r="1" spans="1:10" ht="23.4" x14ac:dyDescent="0.45">
      <c r="A1" s="4" t="inlineStr">
        <is>
          <t xml:space="preserve">Notas y alcance</t>
        </is>
      </c>
    </row>
    <row r="2" spans="1:10" x14ac:dyDescent="0.3">
      <c r="A2" s="5" t="inlineStr">
        <is>
          <t xml:space="preserve">Qué incluye este reporte y sus límites</t>
        </is>
      </c>
    </row>
    <row r="4" spans="1:10" ht="30" customHeight="1" x14ac:dyDescent="0.3">
      <c r="A4" s="31" t="inlineStr">
        <is>
          <t xml:space="preserve"/>
        </is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30" customHeight="1" x14ac:dyDescent="0.3">
      <c r="A5" s="31" t="inlineStr">
        <is>
          <t xml:space="preserve"/>
        </is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0" customHeight="1" x14ac:dyDescent="0.3">
      <c r="A6" s="31" t="inlineStr">
        <is>
          <t xml:space="preserve"/>
        </is>
      </c>
      <c r="B6" s="31"/>
      <c r="C6" s="31"/>
      <c r="D6" s="31"/>
      <c r="E6" s="31"/>
      <c r="F6" s="31"/>
      <c r="G6" s="31"/>
      <c r="H6" s="31"/>
      <c r="I6" s="31"/>
      <c r="J6" s="31"/>
    </row>
    <row r="7" spans="1:10" ht="30" customHeight="1" x14ac:dyDescent="0.3">
      <c r="A7" s="31" t="inlineStr">
        <is>
          <t xml:space="preserve"/>
        </is>
      </c>
      <c r="B7" s="31"/>
      <c r="C7" s="31"/>
      <c r="D7" s="31"/>
      <c r="E7" s="31"/>
      <c r="F7" s="31"/>
      <c r="G7" s="31"/>
      <c r="H7" s="31"/>
      <c r="I7" s="31"/>
      <c r="J7" s="31"/>
    </row>
    <row r="8" spans="1:10" ht="30" customHeight="1" x14ac:dyDescent="0.3">
      <c r="A8" s="31" t="inlineStr">
        <is>
          <t xml:space="preserve"/>
        </is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30" customHeight="1" x14ac:dyDescent="0.3">
      <c r="A9" s="31" t="inlineStr">
        <is>
          <t xml:space="preserve"/>
        </is>
      </c>
      <c r="B9" s="31"/>
      <c r="C9" s="31"/>
      <c r="D9" s="31"/>
      <c r="E9" s="31"/>
      <c r="F9" s="31"/>
      <c r="G9" s="31"/>
      <c r="H9" s="31"/>
      <c r="I9" s="31"/>
      <c r="J9" s="31"/>
    </row>
  </sheetData>
  <mergeCells count="6">
    <mergeCell ref="A4:J4"/>
    <mergeCell ref="A5:J5"/>
    <mergeCell ref="A6:J6"/>
    <mergeCell ref="A7:J7"/>
    <mergeCell ref="A8:J8"/>
    <mergeCell ref="A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Resumen</vt:lpstr>
      <vt:lpstr>Casos en curso</vt:lpstr>
      <vt:lpstr>Detalle</vt:lpstr>
      <vt:lpstr>Casos críticos</vt:lpstr>
      <vt:lpstr>Ideas de mejora</vt:lpstr>
      <vt:lpstr>Notas</vt:lpstr>
      <vt:lpstr>FechaCorte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FG</dc:creator>
  <cp:lastModifiedBy>CRM FG</cp:lastModifiedBy>
  <dcterms:created xsi:type="dcterms:W3CDTF">2026-10-22T19:11:56Z</dcterms:created>
  <dcterms:modified xsi:type="dcterms:W3CDTF">2026-10-22T19:12:02Z</dcterms:modified>
</cp:coreProperties>
</file>